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ed9431622860b/Desktop/data analyst/projects/sql/hr sql/"/>
    </mc:Choice>
  </mc:AlternateContent>
  <xr:revisionPtr revIDLastSave="0" documentId="8_{98C8F7BC-ECB9-45AA-A78E-76302F9BBED1}" xr6:coauthVersionLast="47" xr6:coauthVersionMax="47" xr10:uidLastSave="{00000000-0000-0000-0000-000000000000}"/>
  <bookViews>
    <workbookView xWindow="-108" yWindow="-108" windowWidth="23256" windowHeight="12456" xr2:uid="{5D270404-E0A2-48A6-9BD5-45AB6F4FA64A}"/>
  </bookViews>
  <sheets>
    <sheet name="Dashboard" sheetId="1" r:id="rId1"/>
    <sheet name="Overtime" sheetId="2" r:id="rId2"/>
    <sheet name="Job Satisfaction" sheetId="3" r:id="rId3"/>
    <sheet name="Tenure" sheetId="4" r:id="rId4"/>
    <sheet name="Job Ro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<sst xmlns="http://schemas.openxmlformats.org/spreadsheetml/2006/main" count="39" uniqueCount="36">
  <si>
    <t>No</t>
  </si>
  <si>
    <t>Yes</t>
  </si>
  <si>
    <t>employees</t>
  </si>
  <si>
    <t>attrition_rate_pct</t>
  </si>
  <si>
    <t>OverTime</t>
  </si>
  <si>
    <t>OVERTIME ATTRIBUTION</t>
  </si>
  <si>
    <t>attrition_perc</t>
  </si>
  <si>
    <t>jobsatisfaction</t>
  </si>
  <si>
    <t>JOB SATISFACTION</t>
  </si>
  <si>
    <t>tenure_band</t>
  </si>
  <si>
    <t>6+ yrs</t>
  </si>
  <si>
    <t>0-2 yrs</t>
  </si>
  <si>
    <t>3-5 yrs</t>
  </si>
  <si>
    <t>TENURE</t>
  </si>
  <si>
    <t>JobRole</t>
  </si>
  <si>
    <t>risk_rank</t>
  </si>
  <si>
    <t>Sales Representative</t>
  </si>
  <si>
    <t>Laboratory Technician</t>
  </si>
  <si>
    <t>Human Resources</t>
  </si>
  <si>
    <t>Sales Executive</t>
  </si>
  <si>
    <t>Research Scientist</t>
  </si>
  <si>
    <t>Manufacturing Director</t>
  </si>
  <si>
    <t>Healthcare Representative</t>
  </si>
  <si>
    <t>Manager</t>
  </si>
  <si>
    <t>Research Director</t>
  </si>
  <si>
    <t>JOB ROLE</t>
  </si>
  <si>
    <t xml:space="preserve">          HR ATTRITION ANALYSIS                     </t>
  </si>
  <si>
    <t xml:space="preserve">        Employee Retention Dashboard   </t>
  </si>
  <si>
    <t>ATTRITION BY JOB SATISFACTION</t>
  </si>
  <si>
    <t>ATTRIBUTION BY TENURE</t>
  </si>
  <si>
    <t>ATTRIBUTION BY JOB ROLE</t>
  </si>
  <si>
    <t>OVERALL ATTRIBUTION</t>
  </si>
  <si>
    <t xml:space="preserve">KEY FINDINGS                                        </t>
  </si>
  <si>
    <r>
      <t xml:space="preserve"> • Overtime:</t>
    </r>
    <r>
      <rPr>
        <sz val="16"/>
        <color rgb="FFFF0000"/>
        <rFont val="Calibri"/>
        <family val="2"/>
        <scheme val="minor"/>
      </rPr>
      <t>30.53%</t>
    </r>
    <r>
      <rPr>
        <sz val="16"/>
        <color theme="1"/>
        <rFont val="Calibri"/>
        <family val="2"/>
        <scheme val="minor"/>
      </rPr>
      <t xml:space="preserve"> attrition                         </t>
    </r>
  </si>
  <si>
    <r>
      <t xml:space="preserve"> • Highest-risk tenure:</t>
    </r>
    <r>
      <rPr>
        <sz val="16"/>
        <color rgb="FFFF0000"/>
        <rFont val="Calibri"/>
        <family val="2"/>
        <scheme val="minor"/>
      </rPr>
      <t>0-2</t>
    </r>
    <r>
      <rPr>
        <sz val="16"/>
        <color theme="1"/>
        <rFont val="Calibri"/>
        <family val="2"/>
        <scheme val="minor"/>
      </rPr>
      <t xml:space="preserve"> YEARS</t>
    </r>
  </si>
  <si>
    <r>
      <t xml:space="preserve"> • Highest-risk job role: </t>
    </r>
    <r>
      <rPr>
        <sz val="16"/>
        <color rgb="FFFF0000"/>
        <rFont val="Calibri"/>
        <family val="2"/>
        <scheme val="minor"/>
      </rPr>
      <t>SALES 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</si>
</sst>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0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Overtime!$G$4</c:f>
              <c:strCache>
                <c:ptCount val="1"/>
                <c:pt idx="0">
                  <c:v>attrition_rate_pct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Overtime!$F$5:$F$6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Overtime!$G$5:$G$6</c:f>
              <c:numCache>
                <c:formatCode>General</c:formatCode>
                <c:ptCount val="2"/>
                <c:pt idx="0">
                  <c:v>30.53</c:v>
                </c:pt>
                <c:pt idx="1">
                  <c:v>10.44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C-4E9E-948C-DE2F553A4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3100896"/>
        <c:axId val="1022907568"/>
        <c:axId val="0"/>
      </c:bar3DChart>
      <c:catAx>
        <c:axId val="102310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07568"/>
        <c:crosses val="autoZero"/>
        <c:auto val="1"/>
        <c:lblAlgn val="ctr"/>
        <c:lblOffset val="100"/>
        <c:noMultiLvlLbl val="0"/>
      </c:catAx>
      <c:valAx>
        <c:axId val="102290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10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JOB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'Job Satisfaction'!$G$4:$G$6</c:f>
              <c:strCache>
                <c:ptCount val="3"/>
                <c:pt idx="0">
                  <c:v>JOB SATISFACTION</c:v>
                </c:pt>
                <c:pt idx="2">
                  <c:v>jobsatisfaction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'Job Satisfaction'!$G$7:$G$9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D-400B-8898-DFABA756E804}"/>
            </c:ext>
          </c:extLst>
        </c:ser>
        <c:ser>
          <c:idx val="1"/>
          <c:order val="1"/>
          <c:tx>
            <c:strRef>
              <c:f>'Job Satisfaction'!$H$4:$H$6</c:f>
              <c:strCache>
                <c:ptCount val="3"/>
                <c:pt idx="0">
                  <c:v>JOB SATISFACTION</c:v>
                </c:pt>
                <c:pt idx="2">
                  <c:v>attrition_perc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'Job Satisfaction'!$H$7:$H$9</c:f>
              <c:numCache>
                <c:formatCode>General</c:formatCode>
                <c:ptCount val="3"/>
                <c:pt idx="0">
                  <c:v>16.43</c:v>
                </c:pt>
                <c:pt idx="1">
                  <c:v>16.52</c:v>
                </c:pt>
                <c:pt idx="2">
                  <c:v>22.84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0D-400B-8898-DFABA756E8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41495072"/>
        <c:axId val="1022902288"/>
        <c:axId val="0"/>
      </c:bar3DChart>
      <c:catAx>
        <c:axId val="1241495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02288"/>
        <c:crosses val="autoZero"/>
        <c:auto val="1"/>
        <c:lblAlgn val="ctr"/>
        <c:lblOffset val="100"/>
        <c:noMultiLvlLbl val="0"/>
      </c:catAx>
      <c:valAx>
        <c:axId val="10229022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149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TENURE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Tenure!$I$2:$I$4</c:f>
              <c:strCache>
                <c:ptCount val="3"/>
                <c:pt idx="0">
                  <c:v>TENURE</c:v>
                </c:pt>
                <c:pt idx="2">
                  <c:v>attrition_rate_pct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Tenure!$H$5:$H$7</c:f>
              <c:strCache>
                <c:ptCount val="3"/>
                <c:pt idx="0">
                  <c:v>6+ yrs</c:v>
                </c:pt>
                <c:pt idx="1">
                  <c:v>0-2 yrs</c:v>
                </c:pt>
                <c:pt idx="2">
                  <c:v>3-5 yrs</c:v>
                </c:pt>
              </c:strCache>
            </c:strRef>
          </c:cat>
          <c:val>
            <c:numRef>
              <c:f>Tenure!$I$5:$I$7</c:f>
              <c:numCache>
                <c:formatCode>General</c:formatCode>
                <c:ptCount val="3"/>
                <c:pt idx="0">
                  <c:v>10.81</c:v>
                </c:pt>
                <c:pt idx="1">
                  <c:v>29.82</c:v>
                </c:pt>
                <c:pt idx="2">
                  <c:v>13.82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2-4F8B-A100-514F22883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44658144"/>
        <c:axId val="1022884048"/>
        <c:axId val="0"/>
      </c:bar3DChart>
      <c:catAx>
        <c:axId val="124465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884048"/>
        <c:crosses val="autoZero"/>
        <c:auto val="1"/>
        <c:lblAlgn val="ctr"/>
        <c:lblOffset val="100"/>
        <c:noMultiLvlLbl val="0"/>
      </c:catAx>
      <c:valAx>
        <c:axId val="102288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65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'Job Role'!$I$3:$I$5</c:f>
              <c:strCache>
                <c:ptCount val="3"/>
                <c:pt idx="0">
                  <c:v>JOB ROLE</c:v>
                </c:pt>
                <c:pt idx="2">
                  <c:v>attrition_rate_pct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'Job Role'!$H$6:$H$14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'Job Role'!$I$6:$I$14</c:f>
              <c:numCache>
                <c:formatCode>General</c:formatCode>
                <c:ptCount val="9"/>
                <c:pt idx="0">
                  <c:v>39.76</c:v>
                </c:pt>
                <c:pt idx="1">
                  <c:v>23.94</c:v>
                </c:pt>
                <c:pt idx="2">
                  <c:v>23.08</c:v>
                </c:pt>
                <c:pt idx="3">
                  <c:v>17.48</c:v>
                </c:pt>
                <c:pt idx="4">
                  <c:v>16.100000000000001</c:v>
                </c:pt>
                <c:pt idx="5">
                  <c:v>6.9</c:v>
                </c:pt>
                <c:pt idx="6">
                  <c:v>6.87</c:v>
                </c:pt>
                <c:pt idx="7">
                  <c:v>4.9000000000000004</c:v>
                </c:pt>
                <c:pt idx="8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2-4E43-9337-FF830B46E918}"/>
            </c:ext>
          </c:extLst>
        </c:ser>
        <c:ser>
          <c:idx val="1"/>
          <c:order val="1"/>
          <c:tx>
            <c:strRef>
              <c:f>'Job Role'!$J$3:$J$5</c:f>
              <c:strCache>
                <c:ptCount val="3"/>
                <c:pt idx="0">
                  <c:v>JOB ROLE</c:v>
                </c:pt>
                <c:pt idx="2">
                  <c:v>risk_rank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'Job Role'!$H$6:$H$14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'Job Role'!$J$6:$J$14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92-4E43-9337-FF830B46E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39316544"/>
        <c:axId val="1022916208"/>
        <c:axId val="0"/>
      </c:bar3DChart>
      <c:catAx>
        <c:axId val="123931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16208"/>
        <c:crosses val="autoZero"/>
        <c:auto val="1"/>
        <c:lblAlgn val="ctr"/>
        <c:lblOffset val="100"/>
        <c:noMultiLvlLbl val="0"/>
      </c:catAx>
      <c:valAx>
        <c:axId val="102291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31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Overtime!$G$4</c:f>
              <c:strCache>
                <c:ptCount val="1"/>
                <c:pt idx="0">
                  <c:v>attrition_rate_pct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Overtime!$F$5:$F$6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Overtime!$G$5:$G$6</c:f>
              <c:numCache>
                <c:formatCode>General</c:formatCode>
                <c:ptCount val="2"/>
                <c:pt idx="0">
                  <c:v>30.53</c:v>
                </c:pt>
                <c:pt idx="1">
                  <c:v>10.44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F-40BC-9042-F1EF43AF1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3100896"/>
        <c:axId val="1022907568"/>
        <c:axId val="0"/>
      </c:bar3DChart>
      <c:catAx>
        <c:axId val="102310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07568"/>
        <c:crosses val="autoZero"/>
        <c:auto val="1"/>
        <c:lblAlgn val="ctr"/>
        <c:lblOffset val="100"/>
        <c:noMultiLvlLbl val="0"/>
      </c:catAx>
      <c:valAx>
        <c:axId val="102290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10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JOB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'Job Satisfaction'!$G$4:$G$6</c:f>
              <c:strCache>
                <c:ptCount val="3"/>
                <c:pt idx="0">
                  <c:v>JOB SATISFACTION</c:v>
                </c:pt>
                <c:pt idx="2">
                  <c:v>jobsatisfaction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'Job Satisfaction'!$G$7:$G$9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B-4201-970F-FC9DA7E10B6D}"/>
            </c:ext>
          </c:extLst>
        </c:ser>
        <c:ser>
          <c:idx val="1"/>
          <c:order val="1"/>
          <c:tx>
            <c:strRef>
              <c:f>'Job Satisfaction'!$H$4:$H$6</c:f>
              <c:strCache>
                <c:ptCount val="3"/>
                <c:pt idx="0">
                  <c:v>JOB SATISFACTION</c:v>
                </c:pt>
                <c:pt idx="2">
                  <c:v>attrition_perc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'Job Satisfaction'!$H$7:$H$9</c:f>
              <c:numCache>
                <c:formatCode>General</c:formatCode>
                <c:ptCount val="3"/>
                <c:pt idx="0">
                  <c:v>16.43</c:v>
                </c:pt>
                <c:pt idx="1">
                  <c:v>16.52</c:v>
                </c:pt>
                <c:pt idx="2">
                  <c:v>22.84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8B-4201-970F-FC9DA7E10B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41495072"/>
        <c:axId val="1022902288"/>
        <c:axId val="0"/>
      </c:bar3DChart>
      <c:catAx>
        <c:axId val="1241495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02288"/>
        <c:crosses val="autoZero"/>
        <c:auto val="1"/>
        <c:lblAlgn val="ctr"/>
        <c:lblOffset val="100"/>
        <c:noMultiLvlLbl val="0"/>
      </c:catAx>
      <c:valAx>
        <c:axId val="10229022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149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TENURE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Tenure!$I$2:$I$4</c:f>
              <c:strCache>
                <c:ptCount val="3"/>
                <c:pt idx="0">
                  <c:v>TENURE</c:v>
                </c:pt>
                <c:pt idx="2">
                  <c:v>attrition_rate_pct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Tenure!$H$5:$H$7</c:f>
              <c:strCache>
                <c:ptCount val="3"/>
                <c:pt idx="0">
                  <c:v>6+ yrs</c:v>
                </c:pt>
                <c:pt idx="1">
                  <c:v>0-2 yrs</c:v>
                </c:pt>
                <c:pt idx="2">
                  <c:v>3-5 yrs</c:v>
                </c:pt>
              </c:strCache>
            </c:strRef>
          </c:cat>
          <c:val>
            <c:numRef>
              <c:f>Tenure!$I$5:$I$7</c:f>
              <c:numCache>
                <c:formatCode>General</c:formatCode>
                <c:ptCount val="3"/>
                <c:pt idx="0">
                  <c:v>10.81</c:v>
                </c:pt>
                <c:pt idx="1">
                  <c:v>29.82</c:v>
                </c:pt>
                <c:pt idx="2">
                  <c:v>13.82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9-4156-8790-42489D002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44658144"/>
        <c:axId val="1022884048"/>
        <c:axId val="0"/>
      </c:bar3DChart>
      <c:catAx>
        <c:axId val="124465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884048"/>
        <c:crosses val="autoZero"/>
        <c:auto val="1"/>
        <c:lblAlgn val="ctr"/>
        <c:lblOffset val="100"/>
        <c:noMultiLvlLbl val="0"/>
      </c:catAx>
      <c:valAx>
        <c:axId val="102288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65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'Job Role'!$I$3:$I$5</c:f>
              <c:strCache>
                <c:ptCount val="3"/>
                <c:pt idx="0">
                  <c:v>JOB ROLE</c:v>
                </c:pt>
                <c:pt idx="2">
                  <c:v>attrition_rate_pct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'Job Role'!$H$6:$H$14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'Job Role'!$I$6:$I$14</c:f>
              <c:numCache>
                <c:formatCode>General</c:formatCode>
                <c:ptCount val="9"/>
                <c:pt idx="0">
                  <c:v>39.76</c:v>
                </c:pt>
                <c:pt idx="1">
                  <c:v>23.94</c:v>
                </c:pt>
                <c:pt idx="2">
                  <c:v>23.08</c:v>
                </c:pt>
                <c:pt idx="3">
                  <c:v>17.48</c:v>
                </c:pt>
                <c:pt idx="4">
                  <c:v>16.100000000000001</c:v>
                </c:pt>
                <c:pt idx="5">
                  <c:v>6.9</c:v>
                </c:pt>
                <c:pt idx="6">
                  <c:v>6.87</c:v>
                </c:pt>
                <c:pt idx="7">
                  <c:v>4.9000000000000004</c:v>
                </c:pt>
                <c:pt idx="8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F-4D07-8170-788E9F823AC2}"/>
            </c:ext>
          </c:extLst>
        </c:ser>
        <c:ser>
          <c:idx val="1"/>
          <c:order val="1"/>
          <c:tx>
            <c:strRef>
              <c:f>'Job Role'!$J$3:$J$5</c:f>
              <c:strCache>
                <c:ptCount val="3"/>
                <c:pt idx="0">
                  <c:v>JOB ROLE</c:v>
                </c:pt>
                <c:pt idx="2">
                  <c:v>risk_rank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'Job Role'!$H$6:$H$14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'Job Role'!$J$6:$J$14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8F-4D07-8170-788E9F823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39316544"/>
        <c:axId val="1022916208"/>
        <c:axId val="0"/>
      </c:bar3DChart>
      <c:catAx>
        <c:axId val="123931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16208"/>
        <c:crosses val="autoZero"/>
        <c:auto val="1"/>
        <c:lblAlgn val="ctr"/>
        <c:lblOffset val="100"/>
        <c:noMultiLvlLbl val="0"/>
      </c:catAx>
      <c:valAx>
        <c:axId val="102291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31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8</xdr:col>
      <xdr:colOff>601980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DD652-1AFE-4671-881D-0AFCC9CF1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15240</xdr:colOff>
      <xdr:row>6</xdr:row>
      <xdr:rowOff>15240</xdr:rowOff>
    </xdr:from>
    <xdr:to>
      <xdr:col>19</xdr:col>
      <xdr:colOff>594360</xdr:colOff>
      <xdr:row>21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F0E8EC-AC85-48A5-A52C-D071744AC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</xdr:colOff>
      <xdr:row>28</xdr:row>
      <xdr:rowOff>15240</xdr:rowOff>
    </xdr:from>
    <xdr:to>
      <xdr:col>9</xdr:col>
      <xdr:colOff>15240</xdr:colOff>
      <xdr:row>43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5290C5-5E45-48FA-ABD8-72DC2E51A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28</xdr:row>
      <xdr:rowOff>0</xdr:rowOff>
    </xdr:from>
    <xdr:to>
      <xdr:col>20</xdr:col>
      <xdr:colOff>7620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A99037-AC88-4853-9EC1-D42BF6448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3</xdr:row>
      <xdr:rowOff>49530</xdr:rowOff>
    </xdr:from>
    <xdr:to>
      <xdr:col>15</xdr:col>
      <xdr:colOff>571500</xdr:colOff>
      <xdr:row>18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00CF37-43A3-A589-B127-0B7CB57A0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441960</xdr:colOff>
      <xdr:row>4</xdr:row>
      <xdr:rowOff>41910</xdr:rowOff>
    </xdr:from>
    <xdr:to>
      <xdr:col>16</xdr:col>
      <xdr:colOff>137160</xdr:colOff>
      <xdr:row>19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AFDC2E-85FE-1025-CE9E-0FE0A033C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3</xdr:row>
      <xdr:rowOff>171450</xdr:rowOff>
    </xdr:from>
    <xdr:to>
      <xdr:col>16</xdr:col>
      <xdr:colOff>411480</xdr:colOff>
      <xdr:row>18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EC0866-031C-8A2D-619D-A378E4DF2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3</xdr:row>
      <xdr:rowOff>41910</xdr:rowOff>
    </xdr:from>
    <xdr:to>
      <xdr:col>17</xdr:col>
      <xdr:colOff>457200</xdr:colOff>
      <xdr:row>18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517206-14BA-B5D9-A155-32F2D7A7A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3240-8E09-4D0F-AC62-FEF7C04EDF05}">
  <dimension ref="A2:T55"/>
  <sheetViews>
    <sheetView tabSelected="1" workbookViewId="0">
      <selection activeCell="G60" sqref="G60"/>
    </sheetView>
  </sheetViews>
  <sheetFormatPr defaultRowHeight="14.4" x14ac:dyDescent="0.3"/>
  <cols>
    <col min="9" max="9" width="12.5546875" bestFit="1" customWidth="1"/>
  </cols>
  <sheetData>
    <row r="2" spans="1:20" ht="21" x14ac:dyDescent="0.4">
      <c r="A2" s="6" t="s">
        <v>26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21" x14ac:dyDescent="0.4">
      <c r="A3" s="6" t="s">
        <v>27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3"/>
    </row>
    <row r="5" spans="1:20" ht="21" customHeight="1" x14ac:dyDescent="0.3">
      <c r="B5" s="6" t="s">
        <v>5</v>
      </c>
      <c r="C5" s="6"/>
      <c r="D5" s="6"/>
      <c r="E5" s="6"/>
      <c r="F5" s="6"/>
      <c r="G5" s="6"/>
      <c r="H5" s="6"/>
      <c r="I5" s="6"/>
      <c r="L5" s="6" t="s">
        <v>28</v>
      </c>
      <c r="M5" s="6"/>
      <c r="N5" s="6"/>
      <c r="O5" s="6"/>
      <c r="P5" s="6"/>
      <c r="Q5" s="6"/>
      <c r="R5" s="6"/>
      <c r="S5" s="6"/>
      <c r="T5" s="6"/>
    </row>
    <row r="6" spans="1:20" ht="21" customHeight="1" x14ac:dyDescent="0.3">
      <c r="B6" s="6"/>
      <c r="C6" s="6"/>
      <c r="D6" s="6"/>
      <c r="E6" s="6"/>
      <c r="F6" s="6"/>
      <c r="G6" s="6"/>
      <c r="H6" s="6"/>
      <c r="I6" s="6"/>
      <c r="L6" s="6"/>
      <c r="M6" s="6"/>
      <c r="N6" s="6"/>
      <c r="O6" s="6"/>
      <c r="P6" s="6"/>
      <c r="Q6" s="6"/>
      <c r="R6" s="6"/>
      <c r="S6" s="6"/>
      <c r="T6" s="6"/>
    </row>
    <row r="27" spans="2:20" x14ac:dyDescent="0.3">
      <c r="B27" s="6" t="s">
        <v>29</v>
      </c>
      <c r="C27" s="6"/>
      <c r="D27" s="6"/>
      <c r="E27" s="6"/>
      <c r="F27" s="6"/>
      <c r="G27" s="6"/>
      <c r="H27" s="6"/>
      <c r="I27" s="6"/>
      <c r="L27" s="6" t="s">
        <v>30</v>
      </c>
      <c r="M27" s="6"/>
      <c r="N27" s="6"/>
      <c r="O27" s="6"/>
      <c r="P27" s="6"/>
      <c r="Q27" s="6"/>
      <c r="R27" s="6"/>
      <c r="S27" s="6"/>
      <c r="T27" s="6"/>
    </row>
    <row r="28" spans="2:20" ht="21" customHeight="1" x14ac:dyDescent="0.3">
      <c r="B28" s="6"/>
      <c r="C28" s="6"/>
      <c r="D28" s="6"/>
      <c r="E28" s="6"/>
      <c r="F28" s="6"/>
      <c r="G28" s="6"/>
      <c r="H28" s="6"/>
      <c r="I28" s="6"/>
      <c r="L28" s="6"/>
      <c r="M28" s="6"/>
      <c r="N28" s="6"/>
      <c r="O28" s="6"/>
      <c r="P28" s="6"/>
      <c r="Q28" s="6"/>
      <c r="R28" s="6"/>
      <c r="S28" s="6"/>
      <c r="T28" s="6"/>
    </row>
    <row r="47" spans="9:12" ht="25.8" x14ac:dyDescent="0.5">
      <c r="I47" s="4" t="s">
        <v>31</v>
      </c>
      <c r="J47" s="4"/>
      <c r="K47" s="4"/>
      <c r="L47" s="1"/>
    </row>
    <row r="48" spans="9:12" ht="25.8" x14ac:dyDescent="0.5">
      <c r="I48" s="5">
        <v>0.16120000000000001</v>
      </c>
      <c r="J48" s="5"/>
      <c r="K48" s="5"/>
      <c r="L48" s="5"/>
    </row>
    <row r="52" spans="6:11" ht="21" x14ac:dyDescent="0.4">
      <c r="F52" s="3" t="s">
        <v>32</v>
      </c>
      <c r="G52" s="3"/>
      <c r="H52" s="3"/>
      <c r="I52" s="3"/>
    </row>
    <row r="53" spans="6:11" ht="21" x14ac:dyDescent="0.4">
      <c r="F53" s="2" t="s">
        <v>33</v>
      </c>
      <c r="G53" s="2"/>
      <c r="H53" s="2"/>
      <c r="I53" s="2"/>
      <c r="J53" s="2"/>
      <c r="K53" s="2"/>
    </row>
    <row r="54" spans="6:11" ht="21" x14ac:dyDescent="0.4">
      <c r="F54" s="2" t="s">
        <v>34</v>
      </c>
      <c r="G54" s="2"/>
      <c r="H54" s="2"/>
      <c r="I54" s="2"/>
      <c r="J54" s="2"/>
      <c r="K54" s="2"/>
    </row>
    <row r="55" spans="6:11" ht="21" x14ac:dyDescent="0.4">
      <c r="F55" s="2" t="s">
        <v>35</v>
      </c>
      <c r="G55" s="2"/>
      <c r="H55" s="2"/>
      <c r="I55" s="2"/>
      <c r="J55" s="2"/>
      <c r="K55" s="2"/>
    </row>
  </sheetData>
  <mergeCells count="7">
    <mergeCell ref="I48:L48"/>
    <mergeCell ref="B5:I6"/>
    <mergeCell ref="B27:I28"/>
    <mergeCell ref="L27:T28"/>
    <mergeCell ref="A2:T2"/>
    <mergeCell ref="A3:S3"/>
    <mergeCell ref="L5:T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0933-2123-439F-957F-8A3C34F0ABAB}">
  <dimension ref="F2:H6"/>
  <sheetViews>
    <sheetView workbookViewId="0">
      <selection activeCell="F23" sqref="F23"/>
    </sheetView>
  </sheetViews>
  <sheetFormatPr defaultRowHeight="14.4" x14ac:dyDescent="0.3"/>
  <cols>
    <col min="7" max="7" width="15.6640625" bestFit="1" customWidth="1"/>
    <col min="8" max="8" width="9.77734375" bestFit="1" customWidth="1"/>
  </cols>
  <sheetData>
    <row r="2" spans="6:8" x14ac:dyDescent="0.3">
      <c r="F2" s="7" t="s">
        <v>5</v>
      </c>
      <c r="G2" s="7"/>
      <c r="H2" s="7"/>
    </row>
    <row r="3" spans="6:8" x14ac:dyDescent="0.3">
      <c r="F3" s="7"/>
      <c r="G3" s="7"/>
      <c r="H3" s="7"/>
    </row>
    <row r="4" spans="6:8" x14ac:dyDescent="0.3">
      <c r="F4" s="1" t="s">
        <v>4</v>
      </c>
      <c r="G4" s="1" t="s">
        <v>3</v>
      </c>
      <c r="H4" s="1" t="s">
        <v>2</v>
      </c>
    </row>
    <row r="5" spans="6:8" x14ac:dyDescent="0.3">
      <c r="F5" t="s">
        <v>1</v>
      </c>
      <c r="G5">
        <v>30.53</v>
      </c>
      <c r="H5">
        <v>416</v>
      </c>
    </row>
    <row r="6" spans="6:8" x14ac:dyDescent="0.3">
      <c r="F6" t="s">
        <v>0</v>
      </c>
      <c r="G6">
        <v>10.44</v>
      </c>
      <c r="H6">
        <v>1054</v>
      </c>
    </row>
  </sheetData>
  <mergeCells count="1">
    <mergeCell ref="F2:H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3F04-4231-4145-8026-9D2EAC403B67}">
  <dimension ref="G4:H9"/>
  <sheetViews>
    <sheetView workbookViewId="0">
      <selection activeCell="T16" sqref="T16"/>
    </sheetView>
  </sheetViews>
  <sheetFormatPr defaultRowHeight="14.4" x14ac:dyDescent="0.3"/>
  <cols>
    <col min="7" max="7" width="13.109375" bestFit="1" customWidth="1"/>
    <col min="8" max="8" width="12.21875" bestFit="1" customWidth="1"/>
  </cols>
  <sheetData>
    <row r="4" spans="7:8" x14ac:dyDescent="0.3">
      <c r="G4" s="7" t="s">
        <v>8</v>
      </c>
      <c r="H4" s="7"/>
    </row>
    <row r="5" spans="7:8" x14ac:dyDescent="0.3">
      <c r="G5" s="7"/>
      <c r="H5" s="7"/>
    </row>
    <row r="6" spans="7:8" s="1" customFormat="1" x14ac:dyDescent="0.3">
      <c r="G6" s="1" t="s">
        <v>7</v>
      </c>
      <c r="H6" s="1" t="s">
        <v>6</v>
      </c>
    </row>
    <row r="7" spans="7:8" x14ac:dyDescent="0.3">
      <c r="G7">
        <v>2</v>
      </c>
      <c r="H7">
        <v>16.43</v>
      </c>
    </row>
    <row r="8" spans="7:8" x14ac:dyDescent="0.3">
      <c r="G8">
        <v>3</v>
      </c>
      <c r="H8">
        <v>16.52</v>
      </c>
    </row>
    <row r="9" spans="7:8" x14ac:dyDescent="0.3">
      <c r="G9">
        <v>1</v>
      </c>
      <c r="H9">
        <v>22.84</v>
      </c>
    </row>
  </sheetData>
  <mergeCells count="1">
    <mergeCell ref="G4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BB6C-55A4-4399-ACB5-62F7FD6AFA9B}">
  <dimension ref="H2:I7"/>
  <sheetViews>
    <sheetView workbookViewId="0">
      <selection activeCell="H21" sqref="H21"/>
    </sheetView>
  </sheetViews>
  <sheetFormatPr defaultRowHeight="14.4" x14ac:dyDescent="0.3"/>
  <cols>
    <col min="8" max="8" width="11.33203125" bestFit="1" customWidth="1"/>
    <col min="9" max="9" width="15.6640625" bestFit="1" customWidth="1"/>
  </cols>
  <sheetData>
    <row r="2" spans="8:9" x14ac:dyDescent="0.3">
      <c r="H2" s="7" t="s">
        <v>13</v>
      </c>
      <c r="I2" s="7"/>
    </row>
    <row r="3" spans="8:9" x14ac:dyDescent="0.3">
      <c r="H3" s="7"/>
      <c r="I3" s="7"/>
    </row>
    <row r="4" spans="8:9" x14ac:dyDescent="0.3">
      <c r="H4" s="1" t="s">
        <v>9</v>
      </c>
      <c r="I4" s="1" t="s">
        <v>3</v>
      </c>
    </row>
    <row r="5" spans="8:9" x14ac:dyDescent="0.3">
      <c r="H5" t="s">
        <v>10</v>
      </c>
      <c r="I5">
        <v>10.81</v>
      </c>
    </row>
    <row r="6" spans="8:9" x14ac:dyDescent="0.3">
      <c r="H6" t="s">
        <v>11</v>
      </c>
      <c r="I6">
        <v>29.82</v>
      </c>
    </row>
    <row r="7" spans="8:9" x14ac:dyDescent="0.3">
      <c r="H7" t="s">
        <v>12</v>
      </c>
      <c r="I7">
        <v>13.82</v>
      </c>
    </row>
  </sheetData>
  <mergeCells count="1">
    <mergeCell ref="H2:I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3385-672C-4D1C-B095-E77126F68BD2}">
  <dimension ref="H3:J14"/>
  <sheetViews>
    <sheetView workbookViewId="0">
      <selection activeCell="H22" sqref="H22"/>
    </sheetView>
  </sheetViews>
  <sheetFormatPr defaultRowHeight="14.4" x14ac:dyDescent="0.3"/>
  <cols>
    <col min="8" max="8" width="22.88671875" bestFit="1" customWidth="1"/>
    <col min="9" max="9" width="15.6640625" bestFit="1" customWidth="1"/>
    <col min="10" max="10" width="8.33203125" bestFit="1" customWidth="1"/>
  </cols>
  <sheetData>
    <row r="3" spans="8:10" x14ac:dyDescent="0.3">
      <c r="H3" s="7" t="s">
        <v>25</v>
      </c>
      <c r="I3" s="7"/>
      <c r="J3" s="7"/>
    </row>
    <row r="4" spans="8:10" x14ac:dyDescent="0.3">
      <c r="H4" s="7"/>
      <c r="I4" s="7"/>
      <c r="J4" s="7"/>
    </row>
    <row r="5" spans="8:10" x14ac:dyDescent="0.3">
      <c r="H5" s="1" t="s">
        <v>14</v>
      </c>
      <c r="I5" s="1" t="s">
        <v>3</v>
      </c>
      <c r="J5" s="1" t="s">
        <v>15</v>
      </c>
    </row>
    <row r="6" spans="8:10" x14ac:dyDescent="0.3">
      <c r="H6" t="s">
        <v>16</v>
      </c>
      <c r="I6">
        <v>39.76</v>
      </c>
      <c r="J6">
        <v>1</v>
      </c>
    </row>
    <row r="7" spans="8:10" x14ac:dyDescent="0.3">
      <c r="H7" t="s">
        <v>17</v>
      </c>
      <c r="I7">
        <v>23.94</v>
      </c>
      <c r="J7">
        <v>2</v>
      </c>
    </row>
    <row r="8" spans="8:10" x14ac:dyDescent="0.3">
      <c r="H8" t="s">
        <v>18</v>
      </c>
      <c r="I8">
        <v>23.08</v>
      </c>
      <c r="J8">
        <v>3</v>
      </c>
    </row>
    <row r="9" spans="8:10" x14ac:dyDescent="0.3">
      <c r="H9" t="s">
        <v>19</v>
      </c>
      <c r="I9">
        <v>17.48</v>
      </c>
      <c r="J9">
        <v>4</v>
      </c>
    </row>
    <row r="10" spans="8:10" x14ac:dyDescent="0.3">
      <c r="H10" t="s">
        <v>20</v>
      </c>
      <c r="I10">
        <v>16.100000000000001</v>
      </c>
      <c r="J10">
        <v>5</v>
      </c>
    </row>
    <row r="11" spans="8:10" x14ac:dyDescent="0.3">
      <c r="H11" t="s">
        <v>21</v>
      </c>
      <c r="I11">
        <v>6.9</v>
      </c>
      <c r="J11">
        <v>6</v>
      </c>
    </row>
    <row r="12" spans="8:10" x14ac:dyDescent="0.3">
      <c r="H12" t="s">
        <v>22</v>
      </c>
      <c r="I12">
        <v>6.87</v>
      </c>
      <c r="J12">
        <v>7</v>
      </c>
    </row>
    <row r="13" spans="8:10" x14ac:dyDescent="0.3">
      <c r="H13" t="s">
        <v>23</v>
      </c>
      <c r="I13">
        <v>4.9000000000000004</v>
      </c>
      <c r="J13">
        <v>8</v>
      </c>
    </row>
    <row r="14" spans="8:10" x14ac:dyDescent="0.3">
      <c r="H14" t="s">
        <v>24</v>
      </c>
      <c r="I14">
        <v>2.5</v>
      </c>
      <c r="J14">
        <v>9</v>
      </c>
    </row>
  </sheetData>
  <mergeCells count="1">
    <mergeCell ref="H3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Overtime</vt:lpstr>
      <vt:lpstr>Job Satisfaction</vt:lpstr>
      <vt:lpstr>Tenure</vt:lpstr>
      <vt:lpstr>Job 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sumukharyan143@outlook.com</dc:creator>
  <cp:lastModifiedBy>sumukharyan143@outlook.com</cp:lastModifiedBy>
  <dcterms:created xsi:type="dcterms:W3CDTF">2026-08-16T11:11:05Z</dcterms:created>
  <dcterms:modified xsi:type="dcterms:W3CDTF">2026-08-16T11:41:05Z</dcterms:modified>
</cp:coreProperties>
</file>